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ul\OneDrive\Desktop\"/>
    </mc:Choice>
  </mc:AlternateContent>
  <xr:revisionPtr revIDLastSave="0" documentId="8_{3B6BB299-7311-48A8-A973-D3F6E39E2D22}" xr6:coauthVersionLast="47" xr6:coauthVersionMax="47" xr10:uidLastSave="{00000000-0000-0000-0000-000000000000}"/>
  <bookViews>
    <workbookView xWindow="-120" yWindow="-120" windowWidth="20730" windowHeight="11040" xr2:uid="{61FC5338-C4CE-4A4B-966A-A9C64EBE123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0" i="1" l="1"/>
  <c r="E40" i="1" s="1"/>
  <c r="F40" i="1" s="1"/>
  <c r="D42" i="1"/>
  <c r="E42" i="1" s="1"/>
  <c r="F42" i="1" s="1"/>
  <c r="D39" i="1" l="1"/>
  <c r="E39" i="1" s="1"/>
  <c r="F39" i="1" s="1"/>
  <c r="D41" i="1"/>
  <c r="E41" i="1" s="1"/>
  <c r="F41" i="1" s="1"/>
  <c r="D38" i="1"/>
  <c r="E38" i="1" s="1"/>
  <c r="F38" i="1" s="1"/>
  <c r="G9" i="1"/>
  <c r="F9" i="1"/>
  <c r="E9" i="1"/>
  <c r="D9" i="1"/>
  <c r="C9" i="1"/>
  <c r="H8" i="1"/>
  <c r="H7" i="1"/>
  <c r="H6" i="1"/>
  <c r="H5" i="1"/>
  <c r="H9" i="1" s="1"/>
  <c r="E15" i="1" l="1"/>
  <c r="E16" i="1"/>
  <c r="D25" i="1" s="1"/>
  <c r="E25" i="1" s="1"/>
  <c r="F25" i="1" s="1"/>
  <c r="E17" i="1"/>
  <c r="D30" i="1" s="1"/>
  <c r="E30" i="1" s="1"/>
  <c r="F30" i="1" s="1"/>
  <c r="E14" i="1"/>
  <c r="E18" i="1" s="1"/>
  <c r="D35" i="1" s="1"/>
  <c r="E35" i="1" s="1"/>
  <c r="F35" i="1" s="1"/>
  <c r="F17" i="1"/>
  <c r="D31" i="1" s="1"/>
  <c r="E31" i="1" s="1"/>
  <c r="F31" i="1" s="1"/>
  <c r="F16" i="1"/>
  <c r="D26" i="1" s="1"/>
  <c r="E26" i="1" s="1"/>
  <c r="F26" i="1" s="1"/>
  <c r="F14" i="1"/>
  <c r="F15" i="1"/>
  <c r="G14" i="1"/>
  <c r="G15" i="1"/>
  <c r="G16" i="1"/>
  <c r="D27" i="1" s="1"/>
  <c r="E27" i="1" s="1"/>
  <c r="F27" i="1" s="1"/>
  <c r="G17" i="1"/>
  <c r="D32" i="1" s="1"/>
  <c r="E32" i="1" s="1"/>
  <c r="F32" i="1" s="1"/>
  <c r="C14" i="1"/>
  <c r="C15" i="1"/>
  <c r="C17" i="1"/>
  <c r="C16" i="1"/>
  <c r="D14" i="1"/>
  <c r="D15" i="1"/>
  <c r="D17" i="1"/>
  <c r="D29" i="1" s="1"/>
  <c r="E29" i="1" s="1"/>
  <c r="F29" i="1" s="1"/>
  <c r="D16" i="1"/>
  <c r="D24" i="1" s="1"/>
  <c r="E24" i="1" s="1"/>
  <c r="F24" i="1" s="1"/>
  <c r="F18" i="1" l="1"/>
  <c r="D36" i="1" s="1"/>
  <c r="E36" i="1" s="1"/>
  <c r="F36" i="1" s="1"/>
  <c r="C23" i="1"/>
  <c r="D23" i="1" s="1"/>
  <c r="E23" i="1" s="1"/>
  <c r="F23" i="1" s="1"/>
  <c r="H16" i="1"/>
  <c r="D28" i="1"/>
  <c r="E28" i="1" s="1"/>
  <c r="F28" i="1" s="1"/>
  <c r="H17" i="1"/>
  <c r="H15" i="1"/>
  <c r="H14" i="1"/>
  <c r="C18" i="1"/>
  <c r="D33" i="1" s="1"/>
  <c r="E33" i="1" s="1"/>
  <c r="F33" i="1" s="1"/>
  <c r="D18" i="1"/>
  <c r="D34" i="1" s="1"/>
  <c r="E34" i="1" s="1"/>
  <c r="F34" i="1" s="1"/>
  <c r="G18" i="1"/>
  <c r="D37" i="1" s="1"/>
  <c r="E37" i="1" s="1"/>
  <c r="F37" i="1" s="1"/>
  <c r="F43" i="1" l="1"/>
  <c r="E47" i="1" s="1"/>
  <c r="H18" i="1"/>
</calcChain>
</file>

<file path=xl/sharedStrings.xml><?xml version="1.0" encoding="utf-8"?>
<sst xmlns="http://schemas.openxmlformats.org/spreadsheetml/2006/main" count="41" uniqueCount="28">
  <si>
    <t>Credit Rating / Default Outcome</t>
  </si>
  <si>
    <t>Credit Rating</t>
  </si>
  <si>
    <t>No Default</t>
  </si>
  <si>
    <t>Technical Default</t>
  </si>
  <si>
    <t>Restructured</t>
  </si>
  <si>
    <t>Partial Default</t>
  </si>
  <si>
    <t>Full Default</t>
  </si>
  <si>
    <t>Total</t>
  </si>
  <si>
    <t>AAA</t>
  </si>
  <si>
    <t>AA</t>
  </si>
  <si>
    <t>BBB</t>
  </si>
  <si>
    <t>BB &amp; Below</t>
  </si>
  <si>
    <t>Total Expected Value</t>
  </si>
  <si>
    <t>Solving</t>
  </si>
  <si>
    <t>Observed Value</t>
  </si>
  <si>
    <t>Expected Value</t>
  </si>
  <si>
    <t>(O-E)</t>
  </si>
  <si>
    <t>(O-E)²</t>
  </si>
  <si>
    <t>(O-E)²/E</t>
  </si>
  <si>
    <t>Sum of      ((O-E)^2)/E</t>
  </si>
  <si>
    <t>Degree of Freedom :</t>
  </si>
  <si>
    <t>(4-1)*(5-1)=</t>
  </si>
  <si>
    <t>p= 0.05</t>
  </si>
  <si>
    <t>Calculated Value</t>
  </si>
  <si>
    <t>&gt;</t>
  </si>
  <si>
    <t>Table Value</t>
  </si>
  <si>
    <t>We Reject the Null Hypothesis</t>
  </si>
  <si>
    <t>There is a relationship between Credit Ratings &amp; Default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</si>
</sst>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2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BDD7EE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18</xdr:col>
      <xdr:colOff>418173</xdr:colOff>
      <xdr:row>25</xdr:row>
      <xdr:rowOff>102503</xdr:rowOff>
    </xdr:to>
    <xdr:pic>
      <xdr:nvPicPr>
        <xdr:cNvPr id="2" name="Picture 1" descr="Step 5 - Interpreting The Results | Chi-Square Test for Goodness of Fit in  a Plant Breeding Example - passel">
          <a:extLst>
            <a:ext uri="{FF2B5EF4-FFF2-40B4-BE49-F238E27FC236}">
              <a16:creationId xmlns:a16="http://schemas.microsoft.com/office/drawing/2014/main" id="{12A03767-3257-404D-9730-82B56FEBA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1500"/>
          <a:ext cx="4685374" cy="4522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9CFE-DDB8-4818-9BBE-5F5651A44952}">
  <dimension ref="B3:H49"/>
  <sheetViews>
    <sheetView tabSelected="1" topLeftCell="A5" zoomScale="115" zoomScaleNormal="115" workbookViewId="0">
      <selection activeCell="A9" sqref="A9"/>
    </sheetView>
  </sheetViews>
  <sheetFormatPr defaultRowHeight="15" x14ac:dyDescent="0.25"/>
  <cols>
    <col min="2" max="2" width="16.7109375" bestFit="1" customWidth="1"/>
    <col min="3" max="3" width="14.7109375" bestFit="1" customWidth="1"/>
    <col min="4" max="4" width="13.5703125" customWidth="1"/>
    <col min="5" max="5" width="13.7109375" customWidth="1"/>
    <col min="6" max="6" width="11.28515625" customWidth="1"/>
  </cols>
  <sheetData>
    <row r="3" spans="2:8" x14ac:dyDescent="0.25">
      <c r="B3" s="1" t="s">
        <v>0</v>
      </c>
      <c r="C3" s="1"/>
      <c r="D3" s="1"/>
      <c r="E3" s="1"/>
      <c r="F3" s="1"/>
      <c r="G3" s="1"/>
      <c r="H3" s="1"/>
    </row>
    <row r="4" spans="2:8" ht="24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x14ac:dyDescent="0.25">
      <c r="B5" s="3" t="s">
        <v>8</v>
      </c>
      <c r="C5" s="4">
        <v>56</v>
      </c>
      <c r="D5" s="4">
        <v>2</v>
      </c>
      <c r="E5" s="4">
        <v>1</v>
      </c>
      <c r="F5" s="4">
        <v>1</v>
      </c>
      <c r="G5" s="4">
        <v>0</v>
      </c>
      <c r="H5" s="5">
        <f>SUM(C5:G5)</f>
        <v>60</v>
      </c>
    </row>
    <row r="6" spans="2:8" x14ac:dyDescent="0.25">
      <c r="B6" s="6" t="s">
        <v>9</v>
      </c>
      <c r="C6" s="7">
        <v>49</v>
      </c>
      <c r="D6" s="7">
        <v>4</v>
      </c>
      <c r="E6" s="7">
        <v>3</v>
      </c>
      <c r="F6" s="7">
        <v>2</v>
      </c>
      <c r="G6" s="7">
        <v>2</v>
      </c>
      <c r="H6" s="5">
        <f>SUM(C6:G6)</f>
        <v>60</v>
      </c>
    </row>
    <row r="7" spans="2:8" x14ac:dyDescent="0.25">
      <c r="B7" s="3" t="s">
        <v>10</v>
      </c>
      <c r="C7" s="4">
        <v>38</v>
      </c>
      <c r="D7" s="4">
        <v>6</v>
      </c>
      <c r="E7" s="4">
        <v>7</v>
      </c>
      <c r="F7" s="4">
        <v>5</v>
      </c>
      <c r="G7" s="4">
        <v>4</v>
      </c>
      <c r="H7" s="5">
        <f>SUM(C7:G7)</f>
        <v>60</v>
      </c>
    </row>
    <row r="8" spans="2:8" x14ac:dyDescent="0.25">
      <c r="B8" s="6" t="s">
        <v>11</v>
      </c>
      <c r="C8" s="7">
        <v>20</v>
      </c>
      <c r="D8" s="7">
        <v>6</v>
      </c>
      <c r="E8" s="7">
        <v>9</v>
      </c>
      <c r="F8" s="7">
        <v>8</v>
      </c>
      <c r="G8" s="7">
        <v>17</v>
      </c>
      <c r="H8" s="5">
        <f>SUM(C8:G8)</f>
        <v>60</v>
      </c>
    </row>
    <row r="9" spans="2:8" x14ac:dyDescent="0.25">
      <c r="B9" s="8" t="s">
        <v>7</v>
      </c>
      <c r="C9" s="8">
        <f t="shared" ref="C9:H9" si="0">SUM(C5:C8)</f>
        <v>163</v>
      </c>
      <c r="D9" s="8">
        <f t="shared" si="0"/>
        <v>18</v>
      </c>
      <c r="E9" s="8">
        <f t="shared" si="0"/>
        <v>20</v>
      </c>
      <c r="F9" s="8">
        <f t="shared" si="0"/>
        <v>16</v>
      </c>
      <c r="G9" s="8">
        <f t="shared" si="0"/>
        <v>23</v>
      </c>
      <c r="H9" s="8">
        <f t="shared" si="0"/>
        <v>240</v>
      </c>
    </row>
    <row r="12" spans="2:8" x14ac:dyDescent="0.25">
      <c r="B12" s="1" t="s">
        <v>12</v>
      </c>
      <c r="C12" s="1"/>
      <c r="D12" s="1"/>
      <c r="E12" s="1"/>
      <c r="F12" s="1"/>
      <c r="G12" s="1"/>
      <c r="H12" s="1"/>
    </row>
    <row r="13" spans="2:8" ht="24" x14ac:dyDescent="0.25"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</row>
    <row r="14" spans="2:8" x14ac:dyDescent="0.25">
      <c r="B14" s="3" t="s">
        <v>8</v>
      </c>
      <c r="C14" s="4">
        <f>C9*H5/H9</f>
        <v>40.75</v>
      </c>
      <c r="D14" s="4">
        <f>D9*H5/H9</f>
        <v>4.5</v>
      </c>
      <c r="E14" s="4">
        <f>E9*H5/H9</f>
        <v>5</v>
      </c>
      <c r="F14" s="4">
        <f>F9*H5/H9</f>
        <v>4</v>
      </c>
      <c r="G14" s="4">
        <f>G9*H5/H9</f>
        <v>5.75</v>
      </c>
      <c r="H14" s="5">
        <f>SUM(C14:G14)</f>
        <v>60</v>
      </c>
    </row>
    <row r="15" spans="2:8" x14ac:dyDescent="0.25">
      <c r="B15" s="6" t="s">
        <v>9</v>
      </c>
      <c r="C15" s="7">
        <f>C9*H6/H9</f>
        <v>40.75</v>
      </c>
      <c r="D15" s="7">
        <f>D9*H6/H9</f>
        <v>4.5</v>
      </c>
      <c r="E15" s="7">
        <f>E9*H6/H9</f>
        <v>5</v>
      </c>
      <c r="F15" s="7">
        <f>F9*H6/H9</f>
        <v>4</v>
      </c>
      <c r="G15" s="7">
        <f>G9*H6/H9</f>
        <v>5.75</v>
      </c>
      <c r="H15" s="5">
        <f>SUM(C15:G15)</f>
        <v>60</v>
      </c>
    </row>
    <row r="16" spans="2:8" x14ac:dyDescent="0.25">
      <c r="B16" s="3" t="s">
        <v>10</v>
      </c>
      <c r="C16" s="4">
        <f>C9*H7/H9</f>
        <v>40.75</v>
      </c>
      <c r="D16" s="4">
        <f>D9*H7/H9</f>
        <v>4.5</v>
      </c>
      <c r="E16" s="4">
        <f>E9*H7/H9</f>
        <v>5</v>
      </c>
      <c r="F16" s="4">
        <f>F9*H7/H9</f>
        <v>4</v>
      </c>
      <c r="G16" s="4">
        <f>G9*H7/H9</f>
        <v>5.75</v>
      </c>
      <c r="H16" s="5">
        <f>SUM(C16:G16)</f>
        <v>60</v>
      </c>
    </row>
    <row r="17" spans="2:8" x14ac:dyDescent="0.25">
      <c r="B17" s="6" t="s">
        <v>11</v>
      </c>
      <c r="C17" s="7">
        <f>C9*H8/H9</f>
        <v>40.75</v>
      </c>
      <c r="D17" s="7">
        <f>D9*H8/H9</f>
        <v>4.5</v>
      </c>
      <c r="E17" s="7">
        <f>E9*H8/H9</f>
        <v>5</v>
      </c>
      <c r="F17" s="7">
        <f>F9*H8/H9</f>
        <v>4</v>
      </c>
      <c r="G17" s="7">
        <f>G9*H8/H9</f>
        <v>5.75</v>
      </c>
      <c r="H17" s="5">
        <f>SUM(C17:G17)</f>
        <v>60</v>
      </c>
    </row>
    <row r="18" spans="2:8" x14ac:dyDescent="0.25">
      <c r="B18" s="8" t="s">
        <v>7</v>
      </c>
      <c r="C18" s="8">
        <f t="shared" ref="C18:H18" si="1">SUM(C14:C17)</f>
        <v>163</v>
      </c>
      <c r="D18" s="8">
        <f t="shared" si="1"/>
        <v>18</v>
      </c>
      <c r="E18" s="8">
        <f t="shared" si="1"/>
        <v>20</v>
      </c>
      <c r="F18" s="8">
        <f t="shared" si="1"/>
        <v>16</v>
      </c>
      <c r="G18" s="8">
        <f t="shared" si="1"/>
        <v>23</v>
      </c>
      <c r="H18" s="8">
        <f t="shared" si="1"/>
        <v>240</v>
      </c>
    </row>
    <row r="21" spans="2:8" x14ac:dyDescent="0.25">
      <c r="B21" s="9" t="s">
        <v>13</v>
      </c>
      <c r="C21" s="9"/>
      <c r="D21" s="9"/>
      <c r="E21" s="9"/>
      <c r="F21" s="9"/>
    </row>
    <row r="22" spans="2:8" x14ac:dyDescent="0.25">
      <c r="B22" s="10" t="s">
        <v>14</v>
      </c>
      <c r="C22" s="10" t="s">
        <v>15</v>
      </c>
      <c r="D22" s="10" t="s">
        <v>16</v>
      </c>
      <c r="E22" s="10" t="s">
        <v>17</v>
      </c>
      <c r="F22" s="10" t="s">
        <v>18</v>
      </c>
    </row>
    <row r="23" spans="2:8" x14ac:dyDescent="0.25">
      <c r="B23" s="11">
        <v>56</v>
      </c>
      <c r="C23" s="11">
        <f>C16</f>
        <v>40.75</v>
      </c>
      <c r="D23" s="11">
        <f>B23-C23</f>
        <v>15.25</v>
      </c>
      <c r="E23" s="11">
        <f t="shared" ref="E23:E42" si="2">D23^2</f>
        <v>232.5625</v>
      </c>
      <c r="F23" s="11">
        <f t="shared" ref="F23:F42" si="3">E23/C23</f>
        <v>5.7070552147239262</v>
      </c>
    </row>
    <row r="24" spans="2:8" x14ac:dyDescent="0.25">
      <c r="B24" s="12">
        <v>49</v>
      </c>
      <c r="C24" s="12">
        <v>40.75</v>
      </c>
      <c r="D24" s="12">
        <f>B24-C24</f>
        <v>8.25</v>
      </c>
      <c r="E24" s="12">
        <f t="shared" si="2"/>
        <v>68.0625</v>
      </c>
      <c r="F24" s="12">
        <f t="shared" si="3"/>
        <v>1.6702453987730062</v>
      </c>
    </row>
    <row r="25" spans="2:8" x14ac:dyDescent="0.25">
      <c r="B25" s="11">
        <v>38</v>
      </c>
      <c r="C25" s="11">
        <v>40.75</v>
      </c>
      <c r="D25" s="11">
        <f>B25-C25</f>
        <v>-2.75</v>
      </c>
      <c r="E25" s="11">
        <f t="shared" si="2"/>
        <v>7.5625</v>
      </c>
      <c r="F25" s="11">
        <f t="shared" si="3"/>
        <v>0.18558282208588958</v>
      </c>
    </row>
    <row r="26" spans="2:8" x14ac:dyDescent="0.25">
      <c r="B26" s="12">
        <v>20</v>
      </c>
      <c r="C26" s="12">
        <v>40.75</v>
      </c>
      <c r="D26" s="12">
        <f>B26-C26</f>
        <v>-20.75</v>
      </c>
      <c r="E26" s="12">
        <f t="shared" si="2"/>
        <v>430.5625</v>
      </c>
      <c r="F26" s="12">
        <f t="shared" si="3"/>
        <v>10.565950920245399</v>
      </c>
    </row>
    <row r="27" spans="2:8" x14ac:dyDescent="0.25">
      <c r="B27" s="11">
        <v>2</v>
      </c>
      <c r="C27" s="11">
        <v>4.5</v>
      </c>
      <c r="D27" s="11">
        <f>B27-C27</f>
        <v>-2.5</v>
      </c>
      <c r="E27" s="11">
        <f t="shared" si="2"/>
        <v>6.25</v>
      </c>
      <c r="F27" s="11">
        <f t="shared" si="3"/>
        <v>1.3888888888888888</v>
      </c>
    </row>
    <row r="28" spans="2:8" x14ac:dyDescent="0.25">
      <c r="B28" s="12">
        <v>4</v>
      </c>
      <c r="C28" s="12">
        <v>4.5</v>
      </c>
      <c r="D28" s="12">
        <f>B28-C28</f>
        <v>-0.5</v>
      </c>
      <c r="E28" s="12">
        <f t="shared" si="2"/>
        <v>0.25</v>
      </c>
      <c r="F28" s="12">
        <f t="shared" si="3"/>
        <v>5.5555555555555552E-2</v>
      </c>
    </row>
    <row r="29" spans="2:8" x14ac:dyDescent="0.25">
      <c r="B29" s="11">
        <v>6</v>
      </c>
      <c r="C29" s="11">
        <v>4.5</v>
      </c>
      <c r="D29" s="11">
        <f>B29-C29</f>
        <v>1.5</v>
      </c>
      <c r="E29" s="11">
        <f t="shared" si="2"/>
        <v>2.25</v>
      </c>
      <c r="F29" s="11">
        <f t="shared" si="3"/>
        <v>0.5</v>
      </c>
    </row>
    <row r="30" spans="2:8" x14ac:dyDescent="0.25">
      <c r="B30" s="12">
        <v>6</v>
      </c>
      <c r="C30" s="12">
        <v>4.5</v>
      </c>
      <c r="D30" s="12">
        <f>B30-C30</f>
        <v>1.5</v>
      </c>
      <c r="E30" s="12">
        <f t="shared" si="2"/>
        <v>2.25</v>
      </c>
      <c r="F30" s="12">
        <f t="shared" si="3"/>
        <v>0.5</v>
      </c>
    </row>
    <row r="31" spans="2:8" x14ac:dyDescent="0.25">
      <c r="B31" s="11">
        <v>1</v>
      </c>
      <c r="C31" s="11">
        <v>5</v>
      </c>
      <c r="D31" s="11">
        <f>B31-C31</f>
        <v>-4</v>
      </c>
      <c r="E31" s="11">
        <f t="shared" si="2"/>
        <v>16</v>
      </c>
      <c r="F31" s="11">
        <f t="shared" si="3"/>
        <v>3.2</v>
      </c>
    </row>
    <row r="32" spans="2:8" x14ac:dyDescent="0.25">
      <c r="B32" s="12">
        <v>3</v>
      </c>
      <c r="C32" s="12">
        <v>5</v>
      </c>
      <c r="D32" s="12">
        <f>B32-C32</f>
        <v>-2</v>
      </c>
      <c r="E32" s="12">
        <f t="shared" si="2"/>
        <v>4</v>
      </c>
      <c r="F32" s="12">
        <f t="shared" si="3"/>
        <v>0.8</v>
      </c>
    </row>
    <row r="33" spans="2:6" x14ac:dyDescent="0.25">
      <c r="B33" s="11">
        <v>7</v>
      </c>
      <c r="C33" s="11">
        <v>5</v>
      </c>
      <c r="D33" s="11">
        <f>B33-C33</f>
        <v>2</v>
      </c>
      <c r="E33" s="11">
        <f t="shared" si="2"/>
        <v>4</v>
      </c>
      <c r="F33" s="11">
        <f t="shared" si="3"/>
        <v>0.8</v>
      </c>
    </row>
    <row r="34" spans="2:6" x14ac:dyDescent="0.25">
      <c r="B34" s="12">
        <v>9</v>
      </c>
      <c r="C34" s="12">
        <v>5</v>
      </c>
      <c r="D34" s="12">
        <f>B34-C34</f>
        <v>4</v>
      </c>
      <c r="E34" s="12">
        <f t="shared" si="2"/>
        <v>16</v>
      </c>
      <c r="F34" s="12">
        <f t="shared" si="3"/>
        <v>3.2</v>
      </c>
    </row>
    <row r="35" spans="2:6" x14ac:dyDescent="0.25">
      <c r="B35" s="11">
        <v>1</v>
      </c>
      <c r="C35" s="11">
        <v>4</v>
      </c>
      <c r="D35" s="11">
        <f>B35-C35</f>
        <v>-3</v>
      </c>
      <c r="E35" s="11">
        <f t="shared" si="2"/>
        <v>9</v>
      </c>
      <c r="F35" s="11">
        <f t="shared" si="3"/>
        <v>2.25</v>
      </c>
    </row>
    <row r="36" spans="2:6" x14ac:dyDescent="0.25">
      <c r="B36" s="12">
        <v>2</v>
      </c>
      <c r="C36" s="12">
        <v>4</v>
      </c>
      <c r="D36" s="12">
        <f>B36-C36</f>
        <v>-2</v>
      </c>
      <c r="E36" s="12">
        <f t="shared" si="2"/>
        <v>4</v>
      </c>
      <c r="F36" s="12">
        <f t="shared" si="3"/>
        <v>1</v>
      </c>
    </row>
    <row r="37" spans="2:6" x14ac:dyDescent="0.25">
      <c r="B37" s="11">
        <v>5</v>
      </c>
      <c r="C37" s="11">
        <v>4</v>
      </c>
      <c r="D37" s="11">
        <f>B37-C37</f>
        <v>1</v>
      </c>
      <c r="E37" s="11">
        <f t="shared" si="2"/>
        <v>1</v>
      </c>
      <c r="F37" s="11">
        <f t="shared" si="3"/>
        <v>0.25</v>
      </c>
    </row>
    <row r="38" spans="2:6" x14ac:dyDescent="0.25">
      <c r="B38" s="12">
        <v>8</v>
      </c>
      <c r="C38" s="12">
        <v>4</v>
      </c>
      <c r="D38" s="12">
        <f>B38-C38</f>
        <v>4</v>
      </c>
      <c r="E38" s="12">
        <f t="shared" si="2"/>
        <v>16</v>
      </c>
      <c r="F38" s="12">
        <f t="shared" si="3"/>
        <v>4</v>
      </c>
    </row>
    <row r="39" spans="2:6" x14ac:dyDescent="0.25">
      <c r="B39" s="11">
        <v>0</v>
      </c>
      <c r="C39" s="11">
        <v>5.75</v>
      </c>
      <c r="D39" s="11">
        <f>B39-C39</f>
        <v>-5.75</v>
      </c>
      <c r="E39" s="11">
        <f t="shared" si="2"/>
        <v>33.0625</v>
      </c>
      <c r="F39" s="11">
        <f t="shared" si="3"/>
        <v>5.75</v>
      </c>
    </row>
    <row r="40" spans="2:6" x14ac:dyDescent="0.25">
      <c r="B40" s="12">
        <v>2</v>
      </c>
      <c r="C40" s="12">
        <v>5.75</v>
      </c>
      <c r="D40" s="12">
        <f>B40-C40</f>
        <v>-3.75</v>
      </c>
      <c r="E40" s="12">
        <f t="shared" si="2"/>
        <v>14.0625</v>
      </c>
      <c r="F40" s="12">
        <f t="shared" si="3"/>
        <v>2.4456521739130435</v>
      </c>
    </row>
    <row r="41" spans="2:6" x14ac:dyDescent="0.25">
      <c r="B41" s="11">
        <v>4</v>
      </c>
      <c r="C41" s="11">
        <v>5.75</v>
      </c>
      <c r="D41" s="11">
        <f>B41-C41</f>
        <v>-1.75</v>
      </c>
      <c r="E41" s="11">
        <f t="shared" si="2"/>
        <v>3.0625</v>
      </c>
      <c r="F41" s="11">
        <f t="shared" si="3"/>
        <v>0.53260869565217395</v>
      </c>
    </row>
    <row r="42" spans="2:6" x14ac:dyDescent="0.25">
      <c r="B42" s="12">
        <v>17</v>
      </c>
      <c r="C42" s="12">
        <v>5.75</v>
      </c>
      <c r="D42" s="12">
        <f>B42-C42</f>
        <v>11.25</v>
      </c>
      <c r="E42" s="12">
        <f t="shared" si="2"/>
        <v>126.5625</v>
      </c>
      <c r="F42" s="12">
        <f t="shared" si="3"/>
        <v>22.010869565217391</v>
      </c>
    </row>
    <row r="43" spans="2:6" ht="30" x14ac:dyDescent="0.25">
      <c r="E43" s="13" t="s">
        <v>19</v>
      </c>
      <c r="F43" s="17">
        <f>SUM(F23:F42)</f>
        <v>66.81240923505527</v>
      </c>
    </row>
    <row r="44" spans="2:6" x14ac:dyDescent="0.25">
      <c r="B44" s="14" t="s">
        <v>20</v>
      </c>
      <c r="C44" s="14"/>
      <c r="D44" s="14"/>
      <c r="E44" s="15" t="s">
        <v>21</v>
      </c>
      <c r="F44" s="16">
        <v>12</v>
      </c>
    </row>
    <row r="45" spans="2:6" x14ac:dyDescent="0.25">
      <c r="B45" s="18" t="s">
        <v>22</v>
      </c>
    </row>
    <row r="47" spans="2:6" ht="15.75" x14ac:dyDescent="0.25">
      <c r="B47" s="19" t="s">
        <v>23</v>
      </c>
      <c r="C47" s="20" t="s">
        <v>24</v>
      </c>
      <c r="D47" s="19" t="s">
        <v>25</v>
      </c>
      <c r="E47" s="21">
        <f>F43</f>
        <v>66.81240923505527</v>
      </c>
      <c r="F47" s="21">
        <v>21.03</v>
      </c>
    </row>
    <row r="48" spans="2:6" x14ac:dyDescent="0.25">
      <c r="B48" s="1" t="s">
        <v>26</v>
      </c>
      <c r="C48" s="1"/>
      <c r="D48" s="1"/>
      <c r="E48" s="1"/>
      <c r="F48" s="1"/>
    </row>
    <row r="49" spans="2:6" x14ac:dyDescent="0.25">
      <c r="B49" s="1" t="s">
        <v>27</v>
      </c>
      <c r="C49" s="1"/>
      <c r="D49" s="1"/>
      <c r="E49" s="1"/>
      <c r="F49" s="1"/>
    </row>
  </sheetData>
  <mergeCells count="6">
    <mergeCell ref="B3:H3"/>
    <mergeCell ref="B12:H12"/>
    <mergeCell ref="B21:F21"/>
    <mergeCell ref="B44:D44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 Patel</dc:creator>
  <cp:lastModifiedBy>Mitul Patel</cp:lastModifiedBy>
  <dcterms:created xsi:type="dcterms:W3CDTF">2026-06-16T15:48:23Z</dcterms:created>
  <dcterms:modified xsi:type="dcterms:W3CDTF">2026-06-16T16:21:15Z</dcterms:modified>
</cp:coreProperties>
</file>